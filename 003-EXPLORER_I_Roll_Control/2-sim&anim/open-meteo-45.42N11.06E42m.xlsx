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n\Downloads\"/>
    </mc:Choice>
  </mc:AlternateContent>
  <xr:revisionPtr revIDLastSave="0" documentId="13_ncr:1_{E93A5665-5D42-4BB1-8B7E-69D5CA9996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4" i="1"/>
  <c r="E33" i="1"/>
  <c r="E32" i="1"/>
  <c r="D35" i="1"/>
  <c r="D34" i="1"/>
  <c r="D33" i="1"/>
  <c r="D32" i="1"/>
  <c r="C35" i="1"/>
  <c r="C34" i="1"/>
  <c r="C33" i="1"/>
  <c r="C32" i="1"/>
  <c r="L28" i="1"/>
  <c r="K28" i="1"/>
  <c r="J28" i="1"/>
  <c r="I28" i="1"/>
  <c r="H28" i="1"/>
  <c r="G28" i="1"/>
  <c r="F28" i="1"/>
  <c r="E28" i="1"/>
  <c r="D28" i="1"/>
  <c r="C28" i="1"/>
  <c r="B28" i="1"/>
</calcChain>
</file>

<file path=xl/sharedStrings.xml><?xml version="1.0" encoding="utf-8"?>
<sst xmlns="http://schemas.openxmlformats.org/spreadsheetml/2006/main" count="28" uniqueCount="23">
  <si>
    <t>latitude</t>
  </si>
  <si>
    <t>longitude</t>
  </si>
  <si>
    <t>elevation</t>
  </si>
  <si>
    <t>utc_offset_seconds</t>
  </si>
  <si>
    <t>timezone</t>
  </si>
  <si>
    <t>timezone_abbreviation</t>
  </si>
  <si>
    <t>GMT</t>
  </si>
  <si>
    <t>time</t>
  </si>
  <si>
    <t>wind_speed_10m (m/s)</t>
  </si>
  <si>
    <t>wind_speed_80m (m/s)</t>
  </si>
  <si>
    <t>wind_speed_120m (m/s)</t>
  </si>
  <si>
    <t>wind_speed_180m (m/s)</t>
  </si>
  <si>
    <t>wind_direction_10m (°)</t>
  </si>
  <si>
    <t>wind_direction_80m (°)</t>
  </si>
  <si>
    <t>wind_direction_120m (°)</t>
  </si>
  <si>
    <t>wind_direction_180m (°)</t>
  </si>
  <si>
    <t>wind_gusts_10m (m/s)</t>
  </si>
  <si>
    <t>pressure_msl (hPa)</t>
  </si>
  <si>
    <t>temperature_2m (°C)</t>
  </si>
  <si>
    <t>speed</t>
  </si>
  <si>
    <t>direction</t>
  </si>
  <si>
    <t>altitude</t>
  </si>
  <si>
    <t>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</si>
</sst>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16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164" fontId="0" fillId="2" borderId="4" xfId="0" applyNumberFormat="1" applyFill="1" applyBorder="1"/>
    <xf numFmtId="0" fontId="0" fillId="2" borderId="0" xfId="0" applyFill="1" applyBorder="1"/>
    <xf numFmtId="0" fontId="0" fillId="2" borderId="5" xfId="0" applyFill="1" applyBorder="1"/>
    <xf numFmtId="164" fontId="0" fillId="2" borderId="6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" xfId="0" applyBorder="1"/>
    <xf numFmtId="0" fontId="0" fillId="0" borderId="4" xfId="0" applyBorder="1"/>
    <xf numFmtId="0" fontId="0" fillId="0" borderId="6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2"/>
  <sheetViews>
    <sheetView topLeftCell="A11" workbookViewId="0">
      <selection activeCell="B31" sqref="B31:E35"/>
    </sheetView>
  </sheetViews>
  <sheetFormatPr defaultRowHeight="16.5" x14ac:dyDescent="0.25"/>
  <cols>
    <col min="1" max="1" width="16.5" customWidth="1"/>
    <col min="2" max="2" width="19.875" customWidth="1"/>
    <col min="3" max="3" width="20.375" customWidth="1"/>
    <col min="4" max="4" width="23" customWidth="1"/>
    <col min="5" max="5" width="23.875" customWidth="1"/>
    <col min="6" max="6" width="19.25" customWidth="1"/>
    <col min="7" max="7" width="19.375" customWidth="1"/>
    <col min="8" max="8" width="21" customWidth="1"/>
    <col min="9" max="9" width="22.875" customWidth="1"/>
    <col min="10" max="10" width="19.25" customWidth="1"/>
    <col min="11" max="12" width="18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ht="15.75" x14ac:dyDescent="0.25">
      <c r="A2">
        <v>45.42</v>
      </c>
      <c r="B2">
        <v>11.06</v>
      </c>
      <c r="C2">
        <v>42</v>
      </c>
      <c r="D2">
        <v>0</v>
      </c>
      <c r="E2" t="s">
        <v>6</v>
      </c>
      <c r="F2" t="s">
        <v>6</v>
      </c>
    </row>
    <row r="3" spans="1:12" ht="15.75" x14ac:dyDescent="0.25"/>
    <row r="4" spans="1:12" ht="15.75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</row>
    <row r="5" spans="1:12" ht="15.75" x14ac:dyDescent="0.25">
      <c r="A5" s="1">
        <v>46184</v>
      </c>
      <c r="B5">
        <v>1.33</v>
      </c>
      <c r="C5">
        <v>1.17</v>
      </c>
      <c r="D5">
        <v>1.1399999999999999</v>
      </c>
      <c r="E5">
        <v>1.34</v>
      </c>
      <c r="F5">
        <v>347</v>
      </c>
      <c r="G5">
        <v>301</v>
      </c>
      <c r="H5">
        <v>255</v>
      </c>
      <c r="I5">
        <v>243</v>
      </c>
      <c r="J5">
        <v>2.2000000000000002</v>
      </c>
      <c r="K5">
        <v>1012.7</v>
      </c>
      <c r="L5">
        <v>14.5</v>
      </c>
    </row>
    <row r="6" spans="1:12" ht="15.75" x14ac:dyDescent="0.25">
      <c r="A6" s="1">
        <v>46184.041666666672</v>
      </c>
      <c r="B6">
        <v>1.71</v>
      </c>
      <c r="C6">
        <v>2.08</v>
      </c>
      <c r="D6">
        <v>1.62</v>
      </c>
      <c r="E6">
        <v>2.0099999999999998</v>
      </c>
      <c r="F6">
        <v>339</v>
      </c>
      <c r="G6">
        <v>325</v>
      </c>
      <c r="H6">
        <v>292</v>
      </c>
      <c r="I6">
        <v>264</v>
      </c>
      <c r="J6">
        <v>2.7</v>
      </c>
      <c r="K6">
        <v>1013.2</v>
      </c>
      <c r="L6">
        <v>13.8</v>
      </c>
    </row>
    <row r="7" spans="1:12" ht="15.75" x14ac:dyDescent="0.25">
      <c r="A7" s="1">
        <v>46184.083333333328</v>
      </c>
      <c r="B7">
        <v>1.3</v>
      </c>
      <c r="C7">
        <v>2.12</v>
      </c>
      <c r="D7">
        <v>1.7</v>
      </c>
      <c r="E7">
        <v>1.58</v>
      </c>
      <c r="F7">
        <v>337</v>
      </c>
      <c r="G7">
        <v>341</v>
      </c>
      <c r="H7">
        <v>332</v>
      </c>
      <c r="I7">
        <v>305</v>
      </c>
      <c r="J7">
        <v>2.4</v>
      </c>
      <c r="K7">
        <v>1013.2</v>
      </c>
      <c r="L7">
        <v>14.2</v>
      </c>
    </row>
    <row r="8" spans="1:12" ht="15.75" x14ac:dyDescent="0.25">
      <c r="A8" s="1">
        <v>46184.125</v>
      </c>
      <c r="B8">
        <v>0.85</v>
      </c>
      <c r="C8">
        <v>1.34</v>
      </c>
      <c r="D8">
        <v>1.04</v>
      </c>
      <c r="E8">
        <v>1.08</v>
      </c>
      <c r="F8">
        <v>315</v>
      </c>
      <c r="G8">
        <v>333</v>
      </c>
      <c r="H8">
        <v>343</v>
      </c>
      <c r="I8">
        <v>338</v>
      </c>
      <c r="J8">
        <v>2.1</v>
      </c>
      <c r="K8">
        <v>1013.6</v>
      </c>
      <c r="L8">
        <v>14.4</v>
      </c>
    </row>
    <row r="9" spans="1:12" ht="15.75" x14ac:dyDescent="0.25">
      <c r="A9" s="1">
        <v>46184.166666666672</v>
      </c>
      <c r="B9">
        <v>0.57999999999999996</v>
      </c>
      <c r="C9">
        <v>0.78</v>
      </c>
      <c r="D9">
        <v>1.08</v>
      </c>
      <c r="E9">
        <v>0.94</v>
      </c>
      <c r="F9">
        <v>59</v>
      </c>
      <c r="G9">
        <v>130</v>
      </c>
      <c r="H9">
        <v>146</v>
      </c>
      <c r="I9">
        <v>148</v>
      </c>
      <c r="J9">
        <v>1.3</v>
      </c>
      <c r="K9">
        <v>1014.6</v>
      </c>
      <c r="L9">
        <v>14.5</v>
      </c>
    </row>
    <row r="10" spans="1:12" ht="15.75" x14ac:dyDescent="0.25">
      <c r="A10" s="1">
        <v>46184.208333333328</v>
      </c>
      <c r="B10">
        <v>0.73</v>
      </c>
      <c r="C10">
        <v>1.33</v>
      </c>
      <c r="D10">
        <v>1.49</v>
      </c>
      <c r="E10">
        <v>1.77</v>
      </c>
      <c r="F10">
        <v>16</v>
      </c>
      <c r="G10">
        <v>77</v>
      </c>
      <c r="H10">
        <v>110</v>
      </c>
      <c r="I10">
        <v>133</v>
      </c>
      <c r="J10">
        <v>1.7</v>
      </c>
      <c r="K10">
        <v>1015</v>
      </c>
      <c r="L10">
        <v>15.7</v>
      </c>
    </row>
    <row r="11" spans="1:12" ht="15.75" x14ac:dyDescent="0.25">
      <c r="A11" s="1">
        <v>46184.25</v>
      </c>
      <c r="B11">
        <v>1.25</v>
      </c>
      <c r="C11">
        <v>1.4</v>
      </c>
      <c r="D11">
        <v>0.98</v>
      </c>
      <c r="E11">
        <v>0.36</v>
      </c>
      <c r="F11">
        <v>331</v>
      </c>
      <c r="G11">
        <v>4</v>
      </c>
      <c r="H11">
        <v>24</v>
      </c>
      <c r="I11">
        <v>34</v>
      </c>
      <c r="J11">
        <v>2</v>
      </c>
      <c r="K11">
        <v>1015.3</v>
      </c>
      <c r="L11">
        <v>17.100000000000001</v>
      </c>
    </row>
    <row r="12" spans="1:12" ht="15.75" x14ac:dyDescent="0.25">
      <c r="A12" s="1">
        <v>46184.291666666672</v>
      </c>
      <c r="B12">
        <v>0.57999999999999996</v>
      </c>
      <c r="C12">
        <v>0.54</v>
      </c>
      <c r="D12">
        <v>0.41</v>
      </c>
      <c r="E12">
        <v>0.45</v>
      </c>
      <c r="F12">
        <v>211</v>
      </c>
      <c r="G12">
        <v>202</v>
      </c>
      <c r="H12">
        <v>104</v>
      </c>
      <c r="I12">
        <v>117</v>
      </c>
      <c r="J12">
        <v>2.2999999999999998</v>
      </c>
      <c r="K12">
        <v>1015.5</v>
      </c>
      <c r="L12">
        <v>19.899999999999999</v>
      </c>
    </row>
    <row r="13" spans="1:12" ht="15.75" x14ac:dyDescent="0.25">
      <c r="A13" s="1">
        <v>46184.333333333328</v>
      </c>
      <c r="B13">
        <v>1.32</v>
      </c>
      <c r="C13">
        <v>1.32</v>
      </c>
      <c r="D13">
        <v>1.32</v>
      </c>
      <c r="E13">
        <v>1.32</v>
      </c>
      <c r="F13">
        <v>171</v>
      </c>
      <c r="G13">
        <v>171</v>
      </c>
      <c r="H13">
        <v>171</v>
      </c>
      <c r="I13">
        <v>171</v>
      </c>
      <c r="J13">
        <v>2.5</v>
      </c>
      <c r="K13">
        <v>1016</v>
      </c>
      <c r="L13">
        <v>21.8</v>
      </c>
    </row>
    <row r="14" spans="1:12" ht="15.75" x14ac:dyDescent="0.25">
      <c r="A14" s="1">
        <v>46184.375</v>
      </c>
      <c r="B14">
        <v>2.02</v>
      </c>
      <c r="C14">
        <v>2.11</v>
      </c>
      <c r="D14">
        <v>2.16</v>
      </c>
      <c r="E14">
        <v>2.02</v>
      </c>
      <c r="F14">
        <v>147</v>
      </c>
      <c r="G14">
        <v>149</v>
      </c>
      <c r="H14">
        <v>146</v>
      </c>
      <c r="I14">
        <v>147</v>
      </c>
      <c r="J14">
        <v>2.5</v>
      </c>
      <c r="K14">
        <v>1016.2</v>
      </c>
      <c r="L14">
        <v>23.2</v>
      </c>
    </row>
    <row r="15" spans="1:12" ht="15.75" x14ac:dyDescent="0.25">
      <c r="A15" s="1">
        <v>46184.416666666672</v>
      </c>
      <c r="B15">
        <v>2.37</v>
      </c>
      <c r="C15">
        <v>2.46</v>
      </c>
      <c r="D15">
        <v>2.5499999999999998</v>
      </c>
      <c r="E15">
        <v>2.46</v>
      </c>
      <c r="F15">
        <v>152</v>
      </c>
      <c r="G15">
        <v>153</v>
      </c>
      <c r="H15">
        <v>154</v>
      </c>
      <c r="I15">
        <v>153</v>
      </c>
      <c r="J15">
        <v>2.9</v>
      </c>
      <c r="K15">
        <v>1016.2</v>
      </c>
      <c r="L15">
        <v>24.3</v>
      </c>
    </row>
    <row r="16" spans="1:12" ht="15.75" x14ac:dyDescent="0.25">
      <c r="A16" s="1">
        <v>46184.458333333328</v>
      </c>
      <c r="B16">
        <v>2.76</v>
      </c>
      <c r="C16">
        <v>2.9</v>
      </c>
      <c r="D16">
        <v>2.97</v>
      </c>
      <c r="E16">
        <v>2.9</v>
      </c>
      <c r="F16">
        <v>136</v>
      </c>
      <c r="G16">
        <v>136</v>
      </c>
      <c r="H16">
        <v>138</v>
      </c>
      <c r="I16">
        <v>136</v>
      </c>
      <c r="J16">
        <v>4.5</v>
      </c>
      <c r="K16">
        <v>1016.2</v>
      </c>
      <c r="L16">
        <v>25</v>
      </c>
    </row>
    <row r="17" spans="1:12" ht="15.75" x14ac:dyDescent="0.25">
      <c r="A17" s="1">
        <v>46184.5</v>
      </c>
      <c r="B17">
        <v>3.91</v>
      </c>
      <c r="C17">
        <v>4.49</v>
      </c>
      <c r="D17">
        <v>4.49</v>
      </c>
      <c r="E17">
        <v>4.4400000000000004</v>
      </c>
      <c r="F17">
        <v>122</v>
      </c>
      <c r="G17">
        <v>122</v>
      </c>
      <c r="H17">
        <v>122</v>
      </c>
      <c r="I17">
        <v>121</v>
      </c>
      <c r="J17">
        <v>5</v>
      </c>
      <c r="K17">
        <v>1016</v>
      </c>
      <c r="L17">
        <v>26</v>
      </c>
    </row>
    <row r="18" spans="1:12" ht="15.75" x14ac:dyDescent="0.25">
      <c r="A18" s="1">
        <v>46184.541666666672</v>
      </c>
      <c r="B18">
        <v>2.11</v>
      </c>
      <c r="C18">
        <v>2.33</v>
      </c>
      <c r="D18">
        <v>2.33</v>
      </c>
      <c r="E18">
        <v>2.4700000000000002</v>
      </c>
      <c r="F18">
        <v>121</v>
      </c>
      <c r="G18">
        <v>121</v>
      </c>
      <c r="H18">
        <v>121</v>
      </c>
      <c r="I18">
        <v>122</v>
      </c>
      <c r="J18">
        <v>5.2</v>
      </c>
      <c r="K18">
        <v>1016</v>
      </c>
      <c r="L18">
        <v>26.3</v>
      </c>
    </row>
    <row r="19" spans="1:12" ht="15.75" x14ac:dyDescent="0.25">
      <c r="A19" s="1">
        <v>46184.583333333328</v>
      </c>
      <c r="B19">
        <v>3.94</v>
      </c>
      <c r="C19">
        <v>4.49</v>
      </c>
      <c r="D19">
        <v>4.55</v>
      </c>
      <c r="E19">
        <v>4.55</v>
      </c>
      <c r="F19">
        <v>150</v>
      </c>
      <c r="G19">
        <v>148</v>
      </c>
      <c r="H19">
        <v>147</v>
      </c>
      <c r="I19">
        <v>147</v>
      </c>
      <c r="J19">
        <v>5.3</v>
      </c>
      <c r="K19">
        <v>1015.7</v>
      </c>
      <c r="L19">
        <v>26.1</v>
      </c>
    </row>
    <row r="20" spans="1:12" thickBot="1" x14ac:dyDescent="0.3">
      <c r="A20" s="1">
        <v>46184.625</v>
      </c>
      <c r="B20">
        <v>1.88</v>
      </c>
      <c r="C20">
        <v>1.97</v>
      </c>
      <c r="D20">
        <v>1.93</v>
      </c>
      <c r="E20">
        <v>1.93</v>
      </c>
      <c r="F20">
        <v>205</v>
      </c>
      <c r="G20">
        <v>204</v>
      </c>
      <c r="H20">
        <v>201</v>
      </c>
      <c r="I20">
        <v>201</v>
      </c>
      <c r="J20">
        <v>5</v>
      </c>
      <c r="K20">
        <v>1015.6</v>
      </c>
      <c r="L20">
        <v>26</v>
      </c>
    </row>
    <row r="21" spans="1:12" ht="15.75" x14ac:dyDescent="0.25">
      <c r="A21" s="8">
        <v>46184.666666666672</v>
      </c>
      <c r="B21" s="9">
        <v>4.88</v>
      </c>
      <c r="C21" s="9">
        <v>6.24</v>
      </c>
      <c r="D21" s="9">
        <v>6.38</v>
      </c>
      <c r="E21" s="9">
        <v>6.46</v>
      </c>
      <c r="F21" s="9">
        <v>125</v>
      </c>
      <c r="G21" s="9">
        <v>125</v>
      </c>
      <c r="H21" s="9">
        <v>125</v>
      </c>
      <c r="I21" s="9">
        <v>125</v>
      </c>
      <c r="J21" s="9">
        <v>7.7</v>
      </c>
      <c r="K21" s="9">
        <v>1016.1</v>
      </c>
      <c r="L21" s="10">
        <v>25</v>
      </c>
    </row>
    <row r="22" spans="1:12" ht="15.75" x14ac:dyDescent="0.25">
      <c r="A22" s="11">
        <v>46184.708333333328</v>
      </c>
      <c r="B22" s="12">
        <v>3.72</v>
      </c>
      <c r="C22" s="12">
        <v>5</v>
      </c>
      <c r="D22" s="12">
        <v>5.08</v>
      </c>
      <c r="E22" s="12">
        <v>5.22</v>
      </c>
      <c r="F22" s="12">
        <v>126</v>
      </c>
      <c r="G22" s="12">
        <v>127</v>
      </c>
      <c r="H22" s="12">
        <v>126</v>
      </c>
      <c r="I22" s="12">
        <v>126</v>
      </c>
      <c r="J22" s="12">
        <v>7.7</v>
      </c>
      <c r="K22" s="12">
        <v>1016.8</v>
      </c>
      <c r="L22" s="13">
        <v>24.5</v>
      </c>
    </row>
    <row r="23" spans="1:12" ht="15.75" x14ac:dyDescent="0.25">
      <c r="A23" s="11">
        <v>46184.75</v>
      </c>
      <c r="B23" s="12">
        <v>2.88</v>
      </c>
      <c r="C23" s="12">
        <v>4.75</v>
      </c>
      <c r="D23" s="12">
        <v>5.1100000000000003</v>
      </c>
      <c r="E23" s="12">
        <v>5.2</v>
      </c>
      <c r="F23" s="12">
        <v>110</v>
      </c>
      <c r="G23" s="12">
        <v>112</v>
      </c>
      <c r="H23" s="12">
        <v>113</v>
      </c>
      <c r="I23" s="12">
        <v>113</v>
      </c>
      <c r="J23" s="12">
        <v>6.3</v>
      </c>
      <c r="K23" s="12">
        <v>1017.3</v>
      </c>
      <c r="L23" s="13">
        <v>23.3</v>
      </c>
    </row>
    <row r="24" spans="1:12" ht="15.75" x14ac:dyDescent="0.25">
      <c r="A24" s="11">
        <v>46184.791666666672</v>
      </c>
      <c r="B24" s="12">
        <v>2.5499999999999998</v>
      </c>
      <c r="C24" s="12">
        <v>5.46</v>
      </c>
      <c r="D24" s="12">
        <v>6.11</v>
      </c>
      <c r="E24" s="12">
        <v>6.4</v>
      </c>
      <c r="F24" s="12">
        <v>101</v>
      </c>
      <c r="G24" s="12">
        <v>104</v>
      </c>
      <c r="H24" s="12">
        <v>105</v>
      </c>
      <c r="I24" s="12">
        <v>104</v>
      </c>
      <c r="J24" s="12">
        <v>4.8</v>
      </c>
      <c r="K24" s="12">
        <v>1018</v>
      </c>
      <c r="L24" s="13">
        <v>21.4</v>
      </c>
    </row>
    <row r="25" spans="1:12" ht="15.75" x14ac:dyDescent="0.25">
      <c r="A25" s="11">
        <v>46184.833333333328</v>
      </c>
      <c r="B25" s="12">
        <v>1.9</v>
      </c>
      <c r="C25" s="12">
        <v>4.34</v>
      </c>
      <c r="D25" s="12">
        <v>4.9800000000000004</v>
      </c>
      <c r="E25" s="12">
        <v>5.53</v>
      </c>
      <c r="F25" s="12">
        <v>72</v>
      </c>
      <c r="G25" s="12">
        <v>75</v>
      </c>
      <c r="H25" s="12">
        <v>80</v>
      </c>
      <c r="I25" s="12">
        <v>84</v>
      </c>
      <c r="J25" s="12">
        <v>3.8</v>
      </c>
      <c r="K25" s="12">
        <v>1018.6</v>
      </c>
      <c r="L25" s="13">
        <v>19.5</v>
      </c>
    </row>
    <row r="26" spans="1:12" thickBot="1" x14ac:dyDescent="0.3">
      <c r="A26" s="14">
        <v>46184.875</v>
      </c>
      <c r="B26" s="15">
        <v>2.13</v>
      </c>
      <c r="C26" s="15">
        <v>5.0999999999999996</v>
      </c>
      <c r="D26" s="15">
        <v>5.82</v>
      </c>
      <c r="E26" s="15">
        <v>6.33</v>
      </c>
      <c r="F26" s="15">
        <v>49</v>
      </c>
      <c r="G26" s="15">
        <v>55</v>
      </c>
      <c r="H26" s="15">
        <v>61</v>
      </c>
      <c r="I26" s="15">
        <v>69</v>
      </c>
      <c r="J26" s="15">
        <v>3.3</v>
      </c>
      <c r="K26" s="15">
        <v>1019.3</v>
      </c>
      <c r="L26" s="16">
        <v>18.8</v>
      </c>
    </row>
    <row r="27" spans="1:12" ht="15.75" x14ac:dyDescent="0.25">
      <c r="A27" s="1"/>
    </row>
    <row r="28" spans="1:12" ht="15.75" x14ac:dyDescent="0.25">
      <c r="A28" s="1"/>
      <c r="B28">
        <f>AVERAGE(B21:B26)</f>
        <v>3.0100000000000002</v>
      </c>
      <c r="C28">
        <f>AVERAGE(C21:C26)</f>
        <v>5.1483333333333334</v>
      </c>
      <c r="D28">
        <f>AVERAGE(D21:D26)</f>
        <v>5.580000000000001</v>
      </c>
      <c r="E28">
        <f>AVERAGE(E21:E26)</f>
        <v>5.8566666666666665</v>
      </c>
      <c r="F28">
        <f>AVERAGE(F21:F26)</f>
        <v>97.166666666666671</v>
      </c>
      <c r="G28">
        <f>AVERAGE(G21:G26)</f>
        <v>99.666666666666671</v>
      </c>
      <c r="H28">
        <f>AVERAGE(H21:H26)</f>
        <v>101.66666666666667</v>
      </c>
      <c r="I28">
        <f>AVERAGE(I21:I26)</f>
        <v>103.5</v>
      </c>
      <c r="J28">
        <f>AVERAGE(J21:J26)</f>
        <v>5.6000000000000005</v>
      </c>
      <c r="K28">
        <f>AVERAGE(K21:K26)</f>
        <v>1017.6833333333334</v>
      </c>
      <c r="L28">
        <f>AVERAGE(L21:L26)</f>
        <v>22.083333333333332</v>
      </c>
    </row>
    <row r="29" spans="1:12" ht="15.75" x14ac:dyDescent="0.25">
      <c r="A29" s="1"/>
    </row>
    <row r="30" spans="1:12" thickBot="1" x14ac:dyDescent="0.3">
      <c r="A30" s="1"/>
    </row>
    <row r="31" spans="1:12" ht="15.75" x14ac:dyDescent="0.25">
      <c r="A31" s="1"/>
      <c r="B31" s="17" t="s">
        <v>21</v>
      </c>
      <c r="C31" s="2" t="s">
        <v>19</v>
      </c>
      <c r="D31" s="2" t="s">
        <v>20</v>
      </c>
      <c r="E31" s="3" t="s">
        <v>22</v>
      </c>
    </row>
    <row r="32" spans="1:12" ht="15.75" x14ac:dyDescent="0.25">
      <c r="A32" s="1"/>
      <c r="B32" s="18">
        <v>10</v>
      </c>
      <c r="C32" s="4">
        <f>B28</f>
        <v>3.0100000000000002</v>
      </c>
      <c r="D32" s="4">
        <f>F28</f>
        <v>97.166666666666671</v>
      </c>
      <c r="E32" s="5">
        <f>_xlfn.STDEV.S(B21:B26)</f>
        <v>1.1167810886650957</v>
      </c>
    </row>
    <row r="33" spans="1:5" ht="15.75" x14ac:dyDescent="0.25">
      <c r="A33" s="1"/>
      <c r="B33" s="18">
        <v>80</v>
      </c>
      <c r="C33" s="4">
        <f>C28</f>
        <v>5.1483333333333334</v>
      </c>
      <c r="D33" s="4">
        <f>G28</f>
        <v>99.666666666666671</v>
      </c>
      <c r="E33" s="5">
        <f>_xlfn.STDEV.S(C21:C26)</f>
        <v>0.65196370042101703</v>
      </c>
    </row>
    <row r="34" spans="1:5" ht="15.75" x14ac:dyDescent="0.25">
      <c r="A34" s="1"/>
      <c r="B34" s="18">
        <v>120</v>
      </c>
      <c r="C34" s="4">
        <f>D28</f>
        <v>5.580000000000001</v>
      </c>
      <c r="D34" s="4">
        <f>H28</f>
        <v>101.66666666666667</v>
      </c>
      <c r="E34" s="5">
        <f>_xlfn.STDEV.S(D21:D26)</f>
        <v>0.60156462661961752</v>
      </c>
    </row>
    <row r="35" spans="1:5" thickBot="1" x14ac:dyDescent="0.3">
      <c r="A35" s="1"/>
      <c r="B35" s="19">
        <v>180</v>
      </c>
      <c r="C35" s="6">
        <f>E28</f>
        <v>5.8566666666666665</v>
      </c>
      <c r="D35" s="6">
        <f>I28</f>
        <v>103.5</v>
      </c>
      <c r="E35" s="7">
        <f>_xlfn.STDEV.S(E21:E26)</f>
        <v>0.60440604453187485</v>
      </c>
    </row>
    <row r="36" spans="1:5" ht="15.75" x14ac:dyDescent="0.25">
      <c r="A36" s="1"/>
    </row>
    <row r="37" spans="1:5" ht="15.75" x14ac:dyDescent="0.25">
      <c r="A37" s="1"/>
    </row>
    <row r="38" spans="1:5" ht="15.75" x14ac:dyDescent="0.25">
      <c r="A38" s="1"/>
    </row>
    <row r="39" spans="1:5" ht="15.75" x14ac:dyDescent="0.25">
      <c r="A39" s="1"/>
    </row>
    <row r="40" spans="1:5" ht="15.75" x14ac:dyDescent="0.25">
      <c r="A40" s="1"/>
    </row>
    <row r="41" spans="1:5" ht="15.75" x14ac:dyDescent="0.25">
      <c r="A41" s="1"/>
    </row>
    <row r="42" spans="1:5" ht="15.75" x14ac:dyDescent="0.25">
      <c r="A42" s="1"/>
    </row>
    <row r="43" spans="1:5" ht="15.75" x14ac:dyDescent="0.25">
      <c r="A43" s="1"/>
    </row>
    <row r="44" spans="1:5" ht="15.75" x14ac:dyDescent="0.25">
      <c r="A44" s="1"/>
    </row>
    <row r="45" spans="1:5" ht="15.75" x14ac:dyDescent="0.25">
      <c r="A45" s="1"/>
    </row>
    <row r="46" spans="1:5" ht="15.75" x14ac:dyDescent="0.25">
      <c r="A46" s="1"/>
    </row>
    <row r="47" spans="1:5" ht="15.75" x14ac:dyDescent="0.25">
      <c r="A47" s="1"/>
    </row>
    <row r="48" spans="1:5" ht="15.75" x14ac:dyDescent="0.25">
      <c r="A48" s="1"/>
    </row>
    <row r="49" spans="1:1" ht="15.75" x14ac:dyDescent="0.25">
      <c r="A49" s="1"/>
    </row>
    <row r="50" spans="1:1" ht="15.75" x14ac:dyDescent="0.25">
      <c r="A50" s="1"/>
    </row>
    <row r="51" spans="1:1" ht="15.75" x14ac:dyDescent="0.25">
      <c r="A51" s="1"/>
    </row>
    <row r="52" spans="1:1" ht="15.75" x14ac:dyDescent="0.25">
      <c r="A52" s="1"/>
    </row>
    <row r="53" spans="1:1" ht="15.75" x14ac:dyDescent="0.25">
      <c r="A53" s="1"/>
    </row>
    <row r="54" spans="1:1" ht="15.75" x14ac:dyDescent="0.25">
      <c r="A54" s="1"/>
    </row>
    <row r="55" spans="1:1" ht="15.75" x14ac:dyDescent="0.25">
      <c r="A55" s="1"/>
    </row>
    <row r="56" spans="1:1" ht="15.75" x14ac:dyDescent="0.25">
      <c r="A56" s="1"/>
    </row>
    <row r="57" spans="1:1" ht="15.75" x14ac:dyDescent="0.25">
      <c r="A57" s="1"/>
    </row>
    <row r="58" spans="1:1" ht="15.75" x14ac:dyDescent="0.25">
      <c r="A58" s="1"/>
    </row>
    <row r="59" spans="1:1" ht="15.75" x14ac:dyDescent="0.25">
      <c r="A59" s="1"/>
    </row>
    <row r="60" spans="1:1" ht="15.75" x14ac:dyDescent="0.25">
      <c r="A60" s="1"/>
    </row>
    <row r="61" spans="1:1" ht="15.75" x14ac:dyDescent="0.25">
      <c r="A61" s="1"/>
    </row>
    <row r="62" spans="1:1" ht="15.75" x14ac:dyDescent="0.25">
      <c r="A62" s="1"/>
    </row>
    <row r="63" spans="1:1" ht="15.75" x14ac:dyDescent="0.25">
      <c r="A63" s="1"/>
    </row>
    <row r="64" spans="1:1" ht="15.75" x14ac:dyDescent="0.25">
      <c r="A64" s="1"/>
    </row>
    <row r="65" spans="1:1" ht="15.75" x14ac:dyDescent="0.25">
      <c r="A65" s="1"/>
    </row>
    <row r="66" spans="1:1" ht="15.75" x14ac:dyDescent="0.25">
      <c r="A66" s="1"/>
    </row>
    <row r="67" spans="1:1" ht="15.75" x14ac:dyDescent="0.25">
      <c r="A67" s="1"/>
    </row>
    <row r="68" spans="1:1" ht="15.75" x14ac:dyDescent="0.25">
      <c r="A68" s="1"/>
    </row>
    <row r="69" spans="1:1" ht="15.75" x14ac:dyDescent="0.25">
      <c r="A69" s="1"/>
    </row>
    <row r="70" spans="1:1" ht="15.75" x14ac:dyDescent="0.25">
      <c r="A70" s="1"/>
    </row>
    <row r="71" spans="1:1" ht="15.75" x14ac:dyDescent="0.25">
      <c r="A71" s="1"/>
    </row>
    <row r="72" spans="1:1" ht="15.75" x14ac:dyDescent="0.25">
      <c r="A72" s="1"/>
    </row>
    <row r="73" spans="1:1" ht="15.75" x14ac:dyDescent="0.25">
      <c r="A73" s="1"/>
    </row>
    <row r="74" spans="1:1" ht="15.75" x14ac:dyDescent="0.25">
      <c r="A74" s="1"/>
    </row>
    <row r="75" spans="1:1" ht="15.75" x14ac:dyDescent="0.25">
      <c r="A75" s="1"/>
    </row>
    <row r="76" spans="1:1" ht="15.75" x14ac:dyDescent="0.25">
      <c r="A76" s="1"/>
    </row>
    <row r="77" spans="1:1" ht="15.75" x14ac:dyDescent="0.25">
      <c r="A77" s="1"/>
    </row>
    <row r="78" spans="1:1" ht="15.75" x14ac:dyDescent="0.25">
      <c r="A78" s="1"/>
    </row>
    <row r="79" spans="1:1" ht="15.75" x14ac:dyDescent="0.25">
      <c r="A79" s="1"/>
    </row>
    <row r="80" spans="1:1" ht="15.75" x14ac:dyDescent="0.25">
      <c r="A80" s="1"/>
    </row>
    <row r="81" spans="1:1" ht="15.75" x14ac:dyDescent="0.25">
      <c r="A81" s="1"/>
    </row>
    <row r="82" spans="1:1" ht="15.75" x14ac:dyDescent="0.25">
      <c r="A82" s="1"/>
    </row>
    <row r="83" spans="1:1" ht="15.75" x14ac:dyDescent="0.25">
      <c r="A83" s="1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/>
    </row>
    <row r="92" spans="1:1" ht="15.75" x14ac:dyDescent="0.25">
      <c r="A92" s="1"/>
    </row>
    <row r="93" spans="1:1" ht="15.75" x14ac:dyDescent="0.25">
      <c r="A93" s="1"/>
    </row>
    <row r="94" spans="1:1" ht="15.75" x14ac:dyDescent="0.25">
      <c r="A94" s="1"/>
    </row>
    <row r="95" spans="1:1" ht="15.75" x14ac:dyDescent="0.25">
      <c r="A95" s="1"/>
    </row>
    <row r="96" spans="1:1" ht="15.75" x14ac:dyDescent="0.25">
      <c r="A96" s="1"/>
    </row>
    <row r="97" spans="1:1" ht="15.75" x14ac:dyDescent="0.25">
      <c r="A97" s="1"/>
    </row>
    <row r="98" spans="1:1" ht="15.75" x14ac:dyDescent="0.25">
      <c r="A98" s="1"/>
    </row>
    <row r="99" spans="1:1" ht="15.75" x14ac:dyDescent="0.25">
      <c r="A99" s="1"/>
    </row>
    <row r="100" spans="1:1" ht="15.75" x14ac:dyDescent="0.25">
      <c r="A100" s="1"/>
    </row>
    <row r="101" spans="1:1" ht="15.75" x14ac:dyDescent="0.25">
      <c r="A101" s="1"/>
    </row>
    <row r="102" spans="1:1" ht="15.75" x14ac:dyDescent="0.25">
      <c r="A102" s="1"/>
    </row>
    <row r="103" spans="1:1" ht="15.75" x14ac:dyDescent="0.25">
      <c r="A103" s="1"/>
    </row>
    <row r="104" spans="1:1" ht="15.75" x14ac:dyDescent="0.25">
      <c r="A104" s="1"/>
    </row>
    <row r="105" spans="1:1" ht="15.75" x14ac:dyDescent="0.25">
      <c r="A105" s="1"/>
    </row>
    <row r="106" spans="1:1" ht="15.75" x14ac:dyDescent="0.25">
      <c r="A106" s="1"/>
    </row>
    <row r="107" spans="1:1" ht="15.75" x14ac:dyDescent="0.25">
      <c r="A107" s="1"/>
    </row>
    <row r="108" spans="1:1" ht="15.75" x14ac:dyDescent="0.25">
      <c r="A108" s="1"/>
    </row>
    <row r="109" spans="1:1" ht="15.75" x14ac:dyDescent="0.25">
      <c r="A109" s="1"/>
    </row>
    <row r="110" spans="1:1" ht="15.75" x14ac:dyDescent="0.25">
      <c r="A110" s="1"/>
    </row>
    <row r="111" spans="1:1" ht="15.75" x14ac:dyDescent="0.25">
      <c r="A111" s="1"/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ht="15.75" x14ac:dyDescent="0.25">
      <c r="A164" s="1"/>
    </row>
    <row r="165" spans="1:1" ht="15.75" x14ac:dyDescent="0.25">
      <c r="A165" s="1"/>
    </row>
    <row r="166" spans="1:1" ht="15.75" x14ac:dyDescent="0.25">
      <c r="A166" s="1"/>
    </row>
    <row r="167" spans="1:1" ht="15.75" x14ac:dyDescent="0.25">
      <c r="A167" s="1"/>
    </row>
    <row r="168" spans="1:1" ht="15.75" x14ac:dyDescent="0.25">
      <c r="A168" s="1"/>
    </row>
    <row r="169" spans="1:1" ht="15.75" x14ac:dyDescent="0.25">
      <c r="A169" s="1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20F1-43B9-486D-8EFC-6D71B86B1C6D}">
  <dimension ref="B2:E6"/>
  <sheetViews>
    <sheetView tabSelected="1" workbookViewId="0">
      <selection activeCell="H5" sqref="H5"/>
    </sheetView>
  </sheetViews>
  <sheetFormatPr defaultRowHeight="15.75" x14ac:dyDescent="0.25"/>
  <sheetData>
    <row r="2" spans="2:5" x14ac:dyDescent="0.25">
      <c r="B2" t="s">
        <v>21</v>
      </c>
      <c r="C2" t="s">
        <v>19</v>
      </c>
      <c r="D2" t="s">
        <v>20</v>
      </c>
      <c r="E2" t="s">
        <v>22</v>
      </c>
    </row>
    <row r="3" spans="2:5" x14ac:dyDescent="0.25">
      <c r="B3">
        <v>10</v>
      </c>
      <c r="C3">
        <v>3.0100000000000002</v>
      </c>
      <c r="D3">
        <v>97.166666666666671</v>
      </c>
      <c r="E3">
        <v>1.1167810886650957</v>
      </c>
    </row>
    <row r="4" spans="2:5" x14ac:dyDescent="0.25">
      <c r="B4">
        <v>80</v>
      </c>
      <c r="C4">
        <v>5.1483333333333334</v>
      </c>
      <c r="D4">
        <v>99.666666666666671</v>
      </c>
      <c r="E4">
        <v>0.65196370042101703</v>
      </c>
    </row>
    <row r="5" spans="2:5" x14ac:dyDescent="0.25">
      <c r="B5">
        <v>120</v>
      </c>
      <c r="C5">
        <v>5.580000000000001</v>
      </c>
      <c r="D5">
        <v>101.66666666666667</v>
      </c>
      <c r="E5">
        <v>0.60156462661961752</v>
      </c>
    </row>
    <row r="6" spans="2:5" x14ac:dyDescent="0.25">
      <c r="B6">
        <v>180</v>
      </c>
      <c r="C6">
        <v>5.8566666666666665</v>
      </c>
      <c r="D6">
        <v>103.5</v>
      </c>
      <c r="E6">
        <v>0.60440604453187485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Naranza</cp:lastModifiedBy>
  <dcterms:modified xsi:type="dcterms:W3CDTF">2026-06-11T00:42:31Z</dcterms:modified>
</cp:coreProperties>
</file>